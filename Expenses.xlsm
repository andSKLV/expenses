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Март" sheetId="4" r:id="rId1"/>
    <sheet name="Еда на работе" sheetId="5" r:id="rId2"/>
    <sheet name="Бензин" sheetId="6" r:id="rId3"/>
    <sheet name="Продукты" sheetId="8" r:id="rId4"/>
    <sheet name="Прочее" sheetId="7" r:id="rId5"/>
  </sheets>
  <calcPr calcId="145621"/>
</workbook>
</file>

<file path=xl/calcChain.xml><?xml version="1.0" encoding="utf-8"?>
<calcChain xmlns="http://schemas.openxmlformats.org/spreadsheetml/2006/main">
  <c r="K7" i="4" l="1"/>
  <c r="K9" i="4" l="1"/>
  <c r="K10" i="4"/>
  <c r="K8" i="4"/>
  <c r="K25" i="4" l="1"/>
  <c r="C13" i="4" l="1"/>
  <c r="F26" i="4"/>
  <c r="C29" i="4" l="1"/>
</calcChain>
</file>

<file path=xl/sharedStrings.xml><?xml version="1.0" encoding="utf-8"?>
<sst xmlns="http://schemas.openxmlformats.org/spreadsheetml/2006/main" count="57" uniqueCount="36">
  <si>
    <t>бензин</t>
  </si>
  <si>
    <t>приход</t>
  </si>
  <si>
    <t>еда на работе</t>
  </si>
  <si>
    <t>расход</t>
  </si>
  <si>
    <t>ГПП</t>
  </si>
  <si>
    <t>Тиньков</t>
  </si>
  <si>
    <t>эпиляция</t>
  </si>
  <si>
    <t>8 марта мама</t>
  </si>
  <si>
    <t>8 марта бабушка</t>
  </si>
  <si>
    <t>8 марта катя маша</t>
  </si>
  <si>
    <t>кв плата</t>
  </si>
  <si>
    <t xml:space="preserve">интернет </t>
  </si>
  <si>
    <t>мобильный</t>
  </si>
  <si>
    <t xml:space="preserve">еда домой </t>
  </si>
  <si>
    <t xml:space="preserve">диски </t>
  </si>
  <si>
    <t>итого</t>
  </si>
  <si>
    <t xml:space="preserve">пр расходы </t>
  </si>
  <si>
    <t>март</t>
  </si>
  <si>
    <t>ПЛАН</t>
  </si>
  <si>
    <t>ФАКТ</t>
  </si>
  <si>
    <t>Расход</t>
  </si>
  <si>
    <t>Интернет</t>
  </si>
  <si>
    <t>Март</t>
  </si>
  <si>
    <t>Подарок Паше</t>
  </si>
  <si>
    <t>Страховка Каско</t>
  </si>
  <si>
    <t>Осаго</t>
  </si>
  <si>
    <t>Деньги на страхову</t>
  </si>
  <si>
    <t>Каско/осаго</t>
  </si>
  <si>
    <t>ТО1</t>
  </si>
  <si>
    <t>Дата</t>
  </si>
  <si>
    <t>Сумма</t>
  </si>
  <si>
    <t>Описание</t>
  </si>
  <si>
    <t>Постоянные</t>
  </si>
  <si>
    <t>продукты</t>
  </si>
  <si>
    <t>пр. расходы</t>
  </si>
  <si>
    <t>Периодические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</si>
</sst>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2" xfId="0" applyBorder="1" applyAlignment="1">
      <alignment horizontal="left"/>
    </xf>
    <xf numFmtId="0" fontId="1" fillId="0" borderId="8" xfId="0" applyFont="1" applyBorder="1"/>
    <xf numFmtId="0" fontId="0" fillId="0" borderId="9" xfId="0" applyBorder="1"/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0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0" borderId="0" xfId="0" applyFill="1" applyBorder="1"/>
    <xf numFmtId="0" fontId="0" fillId="0" borderId="0" xfId="0" applyFill="1"/>
    <xf numFmtId="0" fontId="2" fillId="0" borderId="0" xfId="0" applyFont="1" applyAlignment="1"/>
    <xf numFmtId="0" fontId="0" fillId="0" borderId="0" xfId="0" applyAlignment="1"/>
    <xf numFmtId="0" fontId="0" fillId="0" borderId="5" xfId="0" applyFill="1" applyBorder="1"/>
    <xf numFmtId="0" fontId="0" fillId="0" borderId="7" xfId="0" applyFill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76200</xdr:colOff>
      <xdr:row>8</xdr:row>
      <xdr:rowOff>0</xdr:rowOff>
    </xdr:from>
    <xdr:to>
      <xdr:col>20</xdr:col>
      <xdr:colOff>285750</xdr:colOff>
      <xdr:row>31</xdr:row>
      <xdr:rowOff>66675</xdr:rowOff>
    </xdr:to>
    <xdr:sp macro="" textlink="">
      <xdr:nvSpPr>
        <xdr:cNvPr id="1028" name="AutoShape 4" descr="&amp;Kcy;&amp;acy;&amp;rcy;&amp;tcy;&amp;icy;&amp;ncy;&amp;kcy;&amp;icy; &amp;pcy;&amp;ocy; &amp;zcy;&amp;acy;&amp;pcy;&amp;rcy;&amp;ocy;&amp;scy;&amp;ucy; food logo"/>
        <xdr:cNvSpPr>
          <a:spLocks noChangeAspect="1" noChangeArrowheads="1"/>
        </xdr:cNvSpPr>
      </xdr:nvSpPr>
      <xdr:spPr bwMode="auto">
        <a:xfrm>
          <a:off x="10048875" y="1847850"/>
          <a:ext cx="4476750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22</xdr:col>
      <xdr:colOff>209550</xdr:colOff>
      <xdr:row>31</xdr:row>
      <xdr:rowOff>66675</xdr:rowOff>
    </xdr:to>
    <xdr:sp macro="" textlink="">
      <xdr:nvSpPr>
        <xdr:cNvPr id="1029" name="AutoShape 5" descr="&amp;Kcy;&amp;acy;&amp;rcy;&amp;tcy;&amp;icy;&amp;ncy;&amp;kcy;&amp;icy; &amp;pcy;&amp;ocy; &amp;zcy;&amp;acy;&amp;pcy;&amp;rcy;&amp;ocy;&amp;scy;&amp;ucy; food logo"/>
        <xdr:cNvSpPr>
          <a:spLocks noChangeAspect="1" noChangeArrowheads="1"/>
        </xdr:cNvSpPr>
      </xdr:nvSpPr>
      <xdr:spPr bwMode="auto">
        <a:xfrm>
          <a:off x="11191875" y="1847850"/>
          <a:ext cx="4476750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22</xdr:col>
      <xdr:colOff>209550</xdr:colOff>
      <xdr:row>31</xdr:row>
      <xdr:rowOff>66675</xdr:rowOff>
    </xdr:to>
    <xdr:sp macro="" textlink="">
      <xdr:nvSpPr>
        <xdr:cNvPr id="1030" name="AutoShape 6" descr="&amp;Kcy;&amp;acy;&amp;rcy;&amp;tcy;&amp;icy;&amp;ncy;&amp;kcy;&amp;icy; &amp;pcy;&amp;ocy; &amp;zcy;&amp;acy;&amp;pcy;&amp;rcy;&amp;ocy;&amp;scy;&amp;ucy; food logo"/>
        <xdr:cNvSpPr>
          <a:spLocks noChangeAspect="1" noChangeArrowheads="1"/>
        </xdr:cNvSpPr>
      </xdr:nvSpPr>
      <xdr:spPr bwMode="auto">
        <a:xfrm>
          <a:off x="11191875" y="1847850"/>
          <a:ext cx="4476750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17</xdr:row>
          <xdr:rowOff>47625</xdr:rowOff>
        </xdr:from>
        <xdr:to>
          <xdr:col>17</xdr:col>
          <xdr:colOff>361950</xdr:colOff>
          <xdr:row>19</xdr:row>
          <xdr:rowOff>76200</xdr:rowOff>
        </xdr:to>
        <xdr:sp macro="" textlink="">
          <xdr:nvSpPr>
            <xdr:cNvPr id="2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Добавлять описание покупки</a:t>
              </a:r>
            </a:p>
          </xdr:txBody>
        </xdr:sp>
        <xdr:clientData/>
      </xdr:twoCellAnchor>
    </mc:Choice>
    <mc:Fallback/>
  </mc:AlternateContent>
  <xdr:twoCellAnchor editAs="oneCell">
    <xdr:from>
      <xdr:col>15</xdr:col>
      <xdr:colOff>47624</xdr:colOff>
      <xdr:row>2</xdr:row>
      <xdr:rowOff>419100</xdr:rowOff>
    </xdr:from>
    <xdr:to>
      <xdr:col>17</xdr:col>
      <xdr:colOff>30136</xdr:colOff>
      <xdr:row>7</xdr:row>
      <xdr:rowOff>180975</xdr:rowOff>
    </xdr:to>
    <xdr:pic macro="[0]!Еда_на_работе"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499" y="857250"/>
          <a:ext cx="1201712" cy="9906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10</xdr:row>
      <xdr:rowOff>152400</xdr:rowOff>
    </xdr:from>
    <xdr:to>
      <xdr:col>16</xdr:col>
      <xdr:colOff>586540</xdr:colOff>
      <xdr:row>15</xdr:row>
      <xdr:rowOff>142875</xdr:rowOff>
    </xdr:to>
    <xdr:pic macro="[0]!Продукты"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29975" y="2390775"/>
          <a:ext cx="1158040" cy="942975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2</xdr:row>
      <xdr:rowOff>329565</xdr:rowOff>
    </xdr:from>
    <xdr:to>
      <xdr:col>20</xdr:col>
      <xdr:colOff>5129</xdr:colOff>
      <xdr:row>8</xdr:row>
      <xdr:rowOff>114300</xdr:rowOff>
    </xdr:to>
    <xdr:pic macro="[0]!Бензин"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87350" y="767715"/>
          <a:ext cx="1157654" cy="1203960"/>
        </a:xfrm>
        <a:prstGeom prst="rect">
          <a:avLst/>
        </a:prstGeom>
      </xdr:spPr>
    </xdr:pic>
    <xdr:clientData/>
  </xdr:twoCellAnchor>
  <xdr:twoCellAnchor editAs="oneCell">
    <xdr:from>
      <xdr:col>18</xdr:col>
      <xdr:colOff>140971</xdr:colOff>
      <xdr:row>10</xdr:row>
      <xdr:rowOff>104775</xdr:rowOff>
    </xdr:from>
    <xdr:to>
      <xdr:col>20</xdr:col>
      <xdr:colOff>121919</xdr:colOff>
      <xdr:row>15</xdr:row>
      <xdr:rowOff>152399</xdr:rowOff>
    </xdr:to>
    <xdr:pic macro="[0]!Прочее"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161646" y="2343150"/>
          <a:ext cx="1200148" cy="1000124"/>
        </a:xfrm>
        <a:prstGeom prst="rect">
          <a:avLst/>
        </a:prstGeom>
      </xdr:spPr>
    </xdr:pic>
    <xdr:clientData/>
  </xdr:twoCellAnchor>
  <xdr:oneCellAnchor>
    <xdr:from>
      <xdr:col>15</xdr:col>
      <xdr:colOff>85725</xdr:colOff>
      <xdr:row>8</xdr:row>
      <xdr:rowOff>95250</xdr:rowOff>
    </xdr:from>
    <xdr:ext cx="1270989" cy="269369"/>
    <xdr:sp macro="" textlink="">
      <xdr:nvSpPr>
        <xdr:cNvPr id="7" name="TextBox 6"/>
        <xdr:cNvSpPr txBox="1"/>
      </xdr:nvSpPr>
      <xdr:spPr>
        <a:xfrm>
          <a:off x="11277600" y="1952625"/>
          <a:ext cx="1270989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i="1">
              <a:latin typeface="Arial" panose="020B0604020202020204" pitchFamily="34" charset="0"/>
              <a:cs typeface="Arial" panose="020B0604020202020204" pitchFamily="34" charset="0"/>
            </a:rPr>
            <a:t>Еда на работе</a:t>
          </a:r>
          <a:endParaRPr lang="ru-RU" sz="1100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18</xdr:col>
      <xdr:colOff>238125</xdr:colOff>
      <xdr:row>8</xdr:row>
      <xdr:rowOff>104775</xdr:rowOff>
    </xdr:from>
    <xdr:ext cx="696986" cy="269369"/>
    <xdr:sp macro="" textlink="">
      <xdr:nvSpPr>
        <xdr:cNvPr id="14" name="TextBox 13"/>
        <xdr:cNvSpPr txBox="1"/>
      </xdr:nvSpPr>
      <xdr:spPr>
        <a:xfrm>
          <a:off x="13258800" y="1962150"/>
          <a:ext cx="696986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i="1">
              <a:latin typeface="Arial" panose="020B0604020202020204" pitchFamily="34" charset="0"/>
              <a:cs typeface="Arial" panose="020B0604020202020204" pitchFamily="34" charset="0"/>
            </a:rPr>
            <a:t>Бензин</a:t>
          </a:r>
          <a:endParaRPr lang="ru-RU" sz="1100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15</xdr:col>
      <xdr:colOff>247650</xdr:colOff>
      <xdr:row>15</xdr:row>
      <xdr:rowOff>161925</xdr:rowOff>
    </xdr:from>
    <xdr:ext cx="943463" cy="269369"/>
    <xdr:sp macro="" textlink="">
      <xdr:nvSpPr>
        <xdr:cNvPr id="15" name="TextBox 14"/>
        <xdr:cNvSpPr txBox="1"/>
      </xdr:nvSpPr>
      <xdr:spPr>
        <a:xfrm>
          <a:off x="11439525" y="3352800"/>
          <a:ext cx="943463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i="1">
              <a:latin typeface="Arial" panose="020B0604020202020204" pitchFamily="34" charset="0"/>
              <a:cs typeface="Arial" panose="020B0604020202020204" pitchFamily="34" charset="0"/>
            </a:rPr>
            <a:t>Продукты</a:t>
          </a:r>
          <a:endParaRPr lang="ru-RU" sz="1100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18</xdr:col>
      <xdr:colOff>161925</xdr:colOff>
      <xdr:row>15</xdr:row>
      <xdr:rowOff>171450</xdr:rowOff>
    </xdr:from>
    <xdr:ext cx="1369990" cy="269369"/>
    <xdr:sp macro="" textlink="">
      <xdr:nvSpPr>
        <xdr:cNvPr id="16" name="TextBox 15"/>
        <xdr:cNvSpPr txBox="1"/>
      </xdr:nvSpPr>
      <xdr:spPr>
        <a:xfrm>
          <a:off x="13182600" y="3362325"/>
          <a:ext cx="1369990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i="1">
              <a:latin typeface="Arial" panose="020B0604020202020204" pitchFamily="34" charset="0"/>
              <a:cs typeface="Arial" panose="020B0604020202020204" pitchFamily="34" charset="0"/>
            </a:rPr>
            <a:t>Прочие</a:t>
          </a:r>
          <a:r>
            <a:rPr lang="ru-RU" sz="1200" i="1" baseline="0">
              <a:latin typeface="Arial" panose="020B0604020202020204" pitchFamily="34" charset="0"/>
              <a:cs typeface="Arial" panose="020B0604020202020204" pitchFamily="34" charset="0"/>
            </a:rPr>
            <a:t> расходы</a:t>
          </a:r>
          <a:endParaRPr lang="ru-RU" sz="1100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18</xdr:col>
      <xdr:colOff>257175</xdr:colOff>
      <xdr:row>17</xdr:row>
      <xdr:rowOff>104775</xdr:rowOff>
    </xdr:from>
    <xdr:to>
      <xdr:col>18</xdr:col>
      <xdr:colOff>554832</xdr:colOff>
      <xdr:row>19</xdr:row>
      <xdr:rowOff>9525</xdr:rowOff>
    </xdr:to>
    <xdr:pic macro="[0]!очистить"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277850" y="3676650"/>
          <a:ext cx="297657" cy="285750"/>
        </a:xfrm>
        <a:prstGeom prst="rect">
          <a:avLst/>
        </a:prstGeom>
      </xdr:spPr>
    </xdr:pic>
    <xdr:clientData/>
  </xdr:twoCellAnchor>
  <xdr:oneCellAnchor>
    <xdr:from>
      <xdr:col>18</xdr:col>
      <xdr:colOff>514350</xdr:colOff>
      <xdr:row>17</xdr:row>
      <xdr:rowOff>133350</xdr:rowOff>
    </xdr:from>
    <xdr:ext cx="1562100" cy="264560"/>
    <xdr:sp macro="" textlink="">
      <xdr:nvSpPr>
        <xdr:cNvPr id="9" name="TextBox 8"/>
        <xdr:cNvSpPr txBox="1"/>
      </xdr:nvSpPr>
      <xdr:spPr>
        <a:xfrm>
          <a:off x="13535025" y="3705225"/>
          <a:ext cx="1562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1">
              <a:latin typeface="Arial" panose="020B0604020202020204" pitchFamily="34" charset="0"/>
              <a:cs typeface="Arial" panose="020B0604020202020204" pitchFamily="34" charset="0"/>
            </a:rPr>
            <a:t>Очистить расходы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V29"/>
  <sheetViews>
    <sheetView tabSelected="1" workbookViewId="0">
      <selection activeCell="W27" sqref="W27"/>
    </sheetView>
  </sheetViews>
  <sheetFormatPr defaultRowHeight="15" x14ac:dyDescent="0.25"/>
  <cols>
    <col min="2" max="2" width="18.42578125" customWidth="1"/>
    <col min="5" max="5" width="17" customWidth="1"/>
    <col min="10" max="10" width="21" customWidth="1"/>
    <col min="11" max="11" width="10.85546875" customWidth="1"/>
    <col min="12" max="12" width="9.140625" customWidth="1"/>
  </cols>
  <sheetData>
    <row r="2" spans="2:22" ht="19.5" thickBot="1" x14ac:dyDescent="0.35">
      <c r="B2" s="3" t="s">
        <v>22</v>
      </c>
    </row>
    <row r="3" spans="2:22" ht="37.5" customHeight="1" x14ac:dyDescent="0.5">
      <c r="B3" s="26" t="s">
        <v>18</v>
      </c>
      <c r="C3" s="27"/>
      <c r="D3" s="27"/>
      <c r="J3" s="26" t="s">
        <v>19</v>
      </c>
      <c r="K3" s="27"/>
      <c r="L3" s="27"/>
      <c r="O3" s="15"/>
      <c r="P3" s="16"/>
      <c r="Q3" s="16"/>
      <c r="R3" s="16"/>
      <c r="S3" s="16"/>
      <c r="T3" s="16"/>
      <c r="U3" s="16"/>
      <c r="V3" s="17"/>
    </row>
    <row r="4" spans="2:22" x14ac:dyDescent="0.25">
      <c r="B4" t="s">
        <v>17</v>
      </c>
      <c r="O4" s="18"/>
      <c r="P4" s="19"/>
      <c r="Q4" s="19"/>
      <c r="R4" s="19"/>
      <c r="S4" s="19"/>
      <c r="T4" s="19"/>
      <c r="U4" s="19"/>
      <c r="V4" s="20"/>
    </row>
    <row r="5" spans="2:22" x14ac:dyDescent="0.25">
      <c r="J5" s="2" t="s">
        <v>20</v>
      </c>
      <c r="O5" s="18"/>
      <c r="P5" s="19"/>
      <c r="Q5" s="19"/>
      <c r="R5" s="19"/>
      <c r="S5" s="19"/>
      <c r="T5" s="19"/>
      <c r="U5" s="19"/>
      <c r="V5" s="20"/>
    </row>
    <row r="6" spans="2:22" ht="14.25" customHeight="1" x14ac:dyDescent="0.25">
      <c r="B6" t="s">
        <v>1</v>
      </c>
      <c r="F6" t="s">
        <v>3</v>
      </c>
      <c r="J6" s="5" t="s">
        <v>32</v>
      </c>
      <c r="K6" s="6"/>
      <c r="O6" s="18"/>
      <c r="P6" s="19"/>
      <c r="Q6" s="19"/>
      <c r="R6" s="19"/>
      <c r="S6" s="19"/>
      <c r="T6" s="19"/>
      <c r="U6" s="19"/>
      <c r="V6" s="20"/>
    </row>
    <row r="7" spans="2:22" x14ac:dyDescent="0.25">
      <c r="B7" t="s">
        <v>4</v>
      </c>
      <c r="C7">
        <v>11500</v>
      </c>
      <c r="E7" t="s">
        <v>6</v>
      </c>
      <c r="F7">
        <v>6500</v>
      </c>
      <c r="J7" s="7" t="s">
        <v>2</v>
      </c>
      <c r="K7" s="28">
        <f>SUM('Еда на работе'!B2:B100)</f>
        <v>0</v>
      </c>
      <c r="O7" s="18"/>
      <c r="P7" s="19"/>
      <c r="Q7" s="19"/>
      <c r="R7" s="19"/>
      <c r="S7" s="19"/>
      <c r="T7" s="19"/>
      <c r="U7" s="19"/>
      <c r="V7" s="20"/>
    </row>
    <row r="8" spans="2:22" x14ac:dyDescent="0.25">
      <c r="B8" t="s">
        <v>5</v>
      </c>
      <c r="C8">
        <v>50000</v>
      </c>
      <c r="E8" t="s">
        <v>7</v>
      </c>
      <c r="F8">
        <v>3000</v>
      </c>
      <c r="J8" s="7" t="s">
        <v>0</v>
      </c>
      <c r="K8" s="28">
        <f>SUM(Бензин!B2:B100)</f>
        <v>0</v>
      </c>
      <c r="O8" s="18"/>
      <c r="P8" s="19"/>
      <c r="Q8" s="19"/>
      <c r="R8" s="19"/>
      <c r="S8" s="19"/>
      <c r="T8" s="19"/>
      <c r="U8" s="19"/>
      <c r="V8" s="20"/>
    </row>
    <row r="9" spans="2:22" x14ac:dyDescent="0.25">
      <c r="B9" s="1">
        <v>43173</v>
      </c>
      <c r="C9">
        <v>28900</v>
      </c>
      <c r="E9" t="s">
        <v>8</v>
      </c>
      <c r="F9">
        <v>1500</v>
      </c>
      <c r="J9" s="7" t="s">
        <v>33</v>
      </c>
      <c r="K9" s="28">
        <f>SUM(Продукты!B2:B100)</f>
        <v>0</v>
      </c>
      <c r="O9" s="18"/>
      <c r="P9" s="19"/>
      <c r="Q9" s="19"/>
      <c r="R9" s="19"/>
      <c r="S9" s="19"/>
      <c r="T9" s="19"/>
      <c r="U9" s="19"/>
      <c r="V9" s="20"/>
    </row>
    <row r="10" spans="2:22" x14ac:dyDescent="0.25">
      <c r="B10" s="1">
        <v>43188</v>
      </c>
      <c r="C10">
        <v>27450</v>
      </c>
      <c r="E10" t="s">
        <v>9</v>
      </c>
      <c r="F10">
        <v>1000</v>
      </c>
      <c r="J10" s="9" t="s">
        <v>34</v>
      </c>
      <c r="K10" s="29">
        <f>SUM(Прочее!B2:B100)</f>
        <v>0</v>
      </c>
      <c r="O10" s="18"/>
      <c r="P10" s="19"/>
      <c r="Q10" s="19"/>
      <c r="R10" s="19"/>
      <c r="S10" s="19"/>
      <c r="T10" s="19"/>
      <c r="U10" s="19"/>
      <c r="V10" s="20"/>
    </row>
    <row r="11" spans="2:22" x14ac:dyDescent="0.25">
      <c r="B11" t="s">
        <v>26</v>
      </c>
      <c r="C11">
        <v>10000</v>
      </c>
      <c r="E11" t="s">
        <v>2</v>
      </c>
      <c r="F11">
        <v>4000</v>
      </c>
      <c r="J11" s="10" t="s">
        <v>35</v>
      </c>
      <c r="K11" s="6"/>
      <c r="O11" s="18"/>
      <c r="P11" s="19"/>
      <c r="Q11" s="19"/>
      <c r="R11" s="19"/>
      <c r="S11" s="19"/>
      <c r="T11" s="19"/>
      <c r="U11" s="19"/>
      <c r="V11" s="20"/>
    </row>
    <row r="12" spans="2:22" x14ac:dyDescent="0.25">
      <c r="E12" t="s">
        <v>0</v>
      </c>
      <c r="F12">
        <v>5000</v>
      </c>
      <c r="J12" s="7" t="s">
        <v>12</v>
      </c>
      <c r="K12" s="8"/>
      <c r="O12" s="18"/>
      <c r="P12" s="19"/>
      <c r="Q12" s="19"/>
      <c r="R12" s="19"/>
      <c r="S12" s="19"/>
      <c r="T12" s="19"/>
      <c r="U12" s="19"/>
      <c r="V12" s="20"/>
    </row>
    <row r="13" spans="2:22" x14ac:dyDescent="0.25">
      <c r="C13">
        <f>C7+C8+C9+C10+C11+C12</f>
        <v>127850</v>
      </c>
      <c r="E13" t="s">
        <v>10</v>
      </c>
      <c r="F13">
        <v>5500</v>
      </c>
      <c r="J13" s="7" t="s">
        <v>21</v>
      </c>
      <c r="K13" s="8"/>
      <c r="O13" s="18"/>
      <c r="P13" s="19"/>
      <c r="Q13" s="19"/>
      <c r="R13" s="19"/>
      <c r="S13" s="19"/>
      <c r="T13" s="19"/>
      <c r="U13" s="19"/>
      <c r="V13" s="20"/>
    </row>
    <row r="14" spans="2:22" x14ac:dyDescent="0.25">
      <c r="E14" t="s">
        <v>11</v>
      </c>
      <c r="F14">
        <v>250</v>
      </c>
      <c r="J14" s="7" t="s">
        <v>7</v>
      </c>
      <c r="K14" s="8"/>
      <c r="O14" s="18"/>
      <c r="P14" s="19"/>
      <c r="Q14" s="19"/>
      <c r="R14" s="19"/>
      <c r="S14" s="19"/>
      <c r="T14" s="19"/>
      <c r="U14" s="19"/>
      <c r="V14" s="20"/>
    </row>
    <row r="15" spans="2:22" x14ac:dyDescent="0.25">
      <c r="E15" t="s">
        <v>12</v>
      </c>
      <c r="F15">
        <v>430</v>
      </c>
      <c r="J15" s="7" t="s">
        <v>8</v>
      </c>
      <c r="K15" s="8"/>
      <c r="O15" s="18"/>
      <c r="P15" s="19"/>
      <c r="Q15" s="19"/>
      <c r="R15" s="19"/>
      <c r="S15" s="19"/>
      <c r="T15" s="19"/>
      <c r="U15" s="19"/>
      <c r="V15" s="20"/>
    </row>
    <row r="16" spans="2:22" x14ac:dyDescent="0.25">
      <c r="E16" t="s">
        <v>13</v>
      </c>
      <c r="F16">
        <v>10000</v>
      </c>
      <c r="J16" s="7" t="s">
        <v>9</v>
      </c>
      <c r="K16" s="8"/>
      <c r="O16" s="18"/>
      <c r="P16" s="19"/>
      <c r="Q16" s="19"/>
      <c r="R16" s="19"/>
      <c r="S16" s="19"/>
      <c r="T16" s="19"/>
      <c r="U16" s="19"/>
      <c r="V16" s="20"/>
    </row>
    <row r="17" spans="2:22" x14ac:dyDescent="0.25">
      <c r="E17" t="s">
        <v>14</v>
      </c>
      <c r="F17">
        <v>25000</v>
      </c>
      <c r="J17" s="7" t="s">
        <v>10</v>
      </c>
      <c r="K17" s="8"/>
      <c r="O17" s="18"/>
      <c r="P17" s="19"/>
      <c r="Q17" s="19"/>
      <c r="R17" s="19"/>
      <c r="S17" s="19"/>
      <c r="T17" s="19"/>
      <c r="U17" s="19"/>
      <c r="V17" s="20"/>
    </row>
    <row r="18" spans="2:22" x14ac:dyDescent="0.25">
      <c r="E18" t="s">
        <v>16</v>
      </c>
      <c r="F18">
        <v>8000</v>
      </c>
      <c r="J18" s="7" t="s">
        <v>14</v>
      </c>
      <c r="K18" s="8"/>
      <c r="O18" s="18"/>
      <c r="P18" s="19"/>
      <c r="Q18" s="19"/>
      <c r="R18" s="19"/>
      <c r="S18" s="19"/>
      <c r="T18" s="19"/>
      <c r="U18" s="19"/>
      <c r="V18" s="20"/>
    </row>
    <row r="19" spans="2:22" x14ac:dyDescent="0.25">
      <c r="E19" t="s">
        <v>23</v>
      </c>
      <c r="F19">
        <v>1500</v>
      </c>
      <c r="J19" s="7" t="s">
        <v>23</v>
      </c>
      <c r="K19" s="8"/>
      <c r="O19" s="18"/>
      <c r="P19" s="19"/>
      <c r="Q19" s="19"/>
      <c r="R19" s="19"/>
      <c r="S19" s="19"/>
      <c r="T19" s="19"/>
      <c r="U19" s="19"/>
      <c r="V19" s="20"/>
    </row>
    <row r="20" spans="2:22" ht="15.75" thickBot="1" x14ac:dyDescent="0.3">
      <c r="E20" t="s">
        <v>24</v>
      </c>
      <c r="F20">
        <v>21500</v>
      </c>
      <c r="J20" s="7" t="s">
        <v>27</v>
      </c>
      <c r="K20" s="8"/>
      <c r="O20" s="21"/>
      <c r="P20" s="22"/>
      <c r="Q20" s="22"/>
      <c r="R20" s="22"/>
      <c r="S20" s="22"/>
      <c r="T20" s="22"/>
      <c r="U20" s="22"/>
      <c r="V20" s="23"/>
    </row>
    <row r="21" spans="2:22" x14ac:dyDescent="0.25">
      <c r="E21" t="s">
        <v>25</v>
      </c>
      <c r="F21">
        <v>9400</v>
      </c>
      <c r="J21" s="7" t="s">
        <v>28</v>
      </c>
      <c r="K21" s="8"/>
      <c r="O21" s="24"/>
      <c r="P21" s="24"/>
      <c r="Q21" s="24"/>
      <c r="R21" s="24"/>
      <c r="S21" s="24"/>
      <c r="T21" s="24"/>
      <c r="U21" s="24"/>
      <c r="V21" s="24"/>
    </row>
    <row r="22" spans="2:22" x14ac:dyDescent="0.25">
      <c r="E22" t="s">
        <v>28</v>
      </c>
      <c r="F22">
        <v>11000</v>
      </c>
      <c r="O22" s="24"/>
      <c r="P22" s="24"/>
      <c r="Q22" s="24"/>
      <c r="R22" s="24"/>
      <c r="S22" s="24"/>
      <c r="T22" s="24"/>
      <c r="U22" s="24"/>
      <c r="V22" s="24"/>
    </row>
    <row r="23" spans="2:22" x14ac:dyDescent="0.25">
      <c r="O23" s="24"/>
      <c r="P23" s="24"/>
      <c r="Q23" s="24"/>
      <c r="R23" s="24"/>
      <c r="S23" s="24"/>
      <c r="T23" s="24"/>
      <c r="U23" s="24"/>
      <c r="V23" s="24"/>
    </row>
    <row r="24" spans="2:22" ht="15.75" thickBot="1" x14ac:dyDescent="0.3">
      <c r="O24" s="24"/>
      <c r="P24" s="24"/>
      <c r="Q24" s="24"/>
      <c r="R24" s="24"/>
      <c r="S24" s="24"/>
      <c r="T24" s="24"/>
      <c r="U24" s="24"/>
      <c r="V24" s="24"/>
    </row>
    <row r="25" spans="2:22" ht="15.75" thickBot="1" x14ac:dyDescent="0.3">
      <c r="J25" s="11" t="s">
        <v>30</v>
      </c>
      <c r="K25" s="12">
        <f>SUM(K7:K21)</f>
        <v>0</v>
      </c>
      <c r="O25" s="25"/>
      <c r="P25" s="25"/>
      <c r="Q25" s="25"/>
      <c r="R25" s="25"/>
      <c r="S25" s="25"/>
      <c r="T25" s="25"/>
      <c r="U25" s="25"/>
      <c r="V25" s="25"/>
    </row>
    <row r="26" spans="2:22" x14ac:dyDescent="0.25">
      <c r="E26" t="s">
        <v>15</v>
      </c>
      <c r="F26">
        <f>SUM(F7:F25)</f>
        <v>113580</v>
      </c>
    </row>
    <row r="29" spans="2:22" x14ac:dyDescent="0.25">
      <c r="B29" s="2" t="s">
        <v>15</v>
      </c>
      <c r="C29" s="2">
        <f>C13-F26</f>
        <v>14270</v>
      </c>
    </row>
  </sheetData>
  <mergeCells count="2">
    <mergeCell ref="B3:D3"/>
    <mergeCell ref="J3:L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4">
              <controlPr defaultSize="0" autoFill="0" autoLine="0" autoPict="0" macro="[0]!Флажок4_Щелчок">
                <anchor moveWithCells="1">
                  <from>
                    <xdr:col>14</xdr:col>
                    <xdr:colOff>400050</xdr:colOff>
                    <xdr:row>17</xdr:row>
                    <xdr:rowOff>47625</xdr:rowOff>
                  </from>
                  <to>
                    <xdr:col>17</xdr:col>
                    <xdr:colOff>361950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6"/>
  </sheetPr>
  <dimension ref="A1:C21"/>
  <sheetViews>
    <sheetView workbookViewId="0">
      <selection activeCell="C2" sqref="C2"/>
    </sheetView>
  </sheetViews>
  <sheetFormatPr defaultRowHeight="15" x14ac:dyDescent="0.25"/>
  <cols>
    <col min="1" max="1" width="11.28515625" style="4" customWidth="1"/>
    <col min="2" max="2" width="11.85546875" style="4" customWidth="1"/>
    <col min="3" max="3" width="36.28515625" style="4" customWidth="1"/>
  </cols>
  <sheetData>
    <row r="1" spans="1:3" x14ac:dyDescent="0.25">
      <c r="A1" s="13" t="s">
        <v>29</v>
      </c>
      <c r="B1" s="13" t="s">
        <v>30</v>
      </c>
      <c r="C1" s="13" t="s">
        <v>31</v>
      </c>
    </row>
    <row r="2" spans="1:3" x14ac:dyDescent="0.25">
      <c r="A2" s="14"/>
      <c r="B2" s="13"/>
      <c r="C2" s="13"/>
    </row>
    <row r="3" spans="1:3" x14ac:dyDescent="0.25">
      <c r="A3" s="14"/>
      <c r="B3" s="13"/>
      <c r="C3" s="13"/>
    </row>
    <row r="4" spans="1:3" x14ac:dyDescent="0.25">
      <c r="A4" s="14"/>
      <c r="B4" s="13"/>
      <c r="C4" s="13"/>
    </row>
    <row r="5" spans="1:3" x14ac:dyDescent="0.25">
      <c r="A5" s="14"/>
      <c r="B5" s="13"/>
      <c r="C5" s="13"/>
    </row>
    <row r="6" spans="1:3" x14ac:dyDescent="0.25">
      <c r="A6" s="14"/>
      <c r="B6" s="13"/>
      <c r="C6" s="13"/>
    </row>
    <row r="7" spans="1:3" x14ac:dyDescent="0.25">
      <c r="A7" s="14"/>
      <c r="B7" s="13"/>
      <c r="C7" s="13"/>
    </row>
    <row r="8" spans="1:3" x14ac:dyDescent="0.25">
      <c r="A8" s="14"/>
      <c r="B8" s="13"/>
      <c r="C8" s="13"/>
    </row>
    <row r="9" spans="1:3" x14ac:dyDescent="0.25">
      <c r="A9" s="14"/>
      <c r="B9" s="13"/>
      <c r="C9" s="13"/>
    </row>
    <row r="10" spans="1:3" x14ac:dyDescent="0.25">
      <c r="A10" s="14"/>
      <c r="B10" s="13"/>
      <c r="C10" s="13"/>
    </row>
    <row r="11" spans="1:3" x14ac:dyDescent="0.25">
      <c r="A11" s="14"/>
      <c r="B11" s="13"/>
      <c r="C11" s="13"/>
    </row>
    <row r="12" spans="1:3" x14ac:dyDescent="0.25">
      <c r="A12" s="14"/>
      <c r="B12" s="13"/>
      <c r="C12" s="13"/>
    </row>
    <row r="13" spans="1:3" x14ac:dyDescent="0.25">
      <c r="A13" s="14"/>
      <c r="B13" s="13"/>
      <c r="C13" s="13"/>
    </row>
    <row r="14" spans="1:3" x14ac:dyDescent="0.25">
      <c r="A14" s="14"/>
      <c r="B14" s="13"/>
      <c r="C14" s="13"/>
    </row>
    <row r="15" spans="1:3" x14ac:dyDescent="0.25">
      <c r="A15" s="14"/>
      <c r="B15" s="13"/>
      <c r="C15" s="13"/>
    </row>
    <row r="16" spans="1:3" x14ac:dyDescent="0.25">
      <c r="A16" s="14"/>
      <c r="B16" s="13"/>
      <c r="C16" s="13"/>
    </row>
    <row r="17" spans="1:3" x14ac:dyDescent="0.25">
      <c r="A17" s="14"/>
      <c r="B17" s="13"/>
      <c r="C17" s="13"/>
    </row>
    <row r="18" spans="1:3" x14ac:dyDescent="0.25">
      <c r="A18" s="14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4"/>
  </sheetPr>
  <dimension ref="A1:C3"/>
  <sheetViews>
    <sheetView workbookViewId="0">
      <selection activeCell="C2" sqref="C2"/>
    </sheetView>
  </sheetViews>
  <sheetFormatPr defaultRowHeight="15" x14ac:dyDescent="0.25"/>
  <cols>
    <col min="1" max="1" width="11.28515625" style="4" customWidth="1"/>
    <col min="2" max="2" width="11.85546875" style="4" customWidth="1"/>
    <col min="3" max="3" width="36.28515625" style="4" customWidth="1"/>
  </cols>
  <sheetData>
    <row r="1" spans="1:3" x14ac:dyDescent="0.25">
      <c r="A1" s="13" t="s">
        <v>29</v>
      </c>
      <c r="B1" s="13" t="s">
        <v>30</v>
      </c>
      <c r="C1" s="13" t="s">
        <v>31</v>
      </c>
    </row>
    <row r="2" spans="1:3" x14ac:dyDescent="0.25">
      <c r="A2" s="14"/>
      <c r="B2" s="13"/>
      <c r="C2" s="13"/>
    </row>
    <row r="3" spans="1:3" x14ac:dyDescent="0.25">
      <c r="A3" s="14"/>
      <c r="B3" s="13"/>
      <c r="C3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FF00"/>
  </sheetPr>
  <dimension ref="A1:C4"/>
  <sheetViews>
    <sheetView workbookViewId="0">
      <selection activeCell="C2" sqref="C2"/>
    </sheetView>
  </sheetViews>
  <sheetFormatPr defaultRowHeight="15" x14ac:dyDescent="0.25"/>
  <cols>
    <col min="1" max="1" width="11.28515625" style="4" customWidth="1"/>
    <col min="2" max="2" width="11.85546875" style="4" customWidth="1"/>
    <col min="3" max="3" width="36.28515625" style="4" customWidth="1"/>
  </cols>
  <sheetData>
    <row r="1" spans="1:3" x14ac:dyDescent="0.25">
      <c r="A1" s="13" t="s">
        <v>29</v>
      </c>
      <c r="B1" s="13" t="s">
        <v>30</v>
      </c>
      <c r="C1" s="13" t="s">
        <v>31</v>
      </c>
    </row>
    <row r="2" spans="1:3" x14ac:dyDescent="0.25">
      <c r="A2" s="14"/>
      <c r="B2" s="13"/>
      <c r="C2" s="13"/>
    </row>
    <row r="3" spans="1:3" x14ac:dyDescent="0.25">
      <c r="A3" s="14"/>
      <c r="B3" s="13"/>
      <c r="C3" s="13"/>
    </row>
    <row r="4" spans="1:3" x14ac:dyDescent="0.25">
      <c r="A4" s="14"/>
      <c r="B4" s="13"/>
      <c r="C4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5" tint="0.39997558519241921"/>
  </sheetPr>
  <dimension ref="A1:C2"/>
  <sheetViews>
    <sheetView workbookViewId="0">
      <selection activeCell="C2" sqref="C2"/>
    </sheetView>
  </sheetViews>
  <sheetFormatPr defaultRowHeight="15" x14ac:dyDescent="0.25"/>
  <cols>
    <col min="1" max="1" width="11.28515625" style="4" customWidth="1"/>
    <col min="2" max="2" width="11.85546875" style="4" customWidth="1"/>
    <col min="3" max="3" width="36.28515625" style="4" customWidth="1"/>
  </cols>
  <sheetData>
    <row r="1" spans="1:3" x14ac:dyDescent="0.25">
      <c r="A1" s="13" t="s">
        <v>29</v>
      </c>
      <c r="B1" s="13" t="s">
        <v>30</v>
      </c>
      <c r="C1" s="13" t="s">
        <v>31</v>
      </c>
    </row>
    <row r="2" spans="1:3" x14ac:dyDescent="0.25">
      <c r="A2" s="14"/>
      <c r="B2" s="13"/>
      <c r="C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Март</vt:lpstr>
      <vt:lpstr>Еда на работе</vt:lpstr>
      <vt:lpstr>Бензин</vt:lpstr>
      <vt:lpstr>Продукты</vt:lpstr>
      <vt:lpstr>Прочее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2018-03-01T08:53:20Z</dcterms:modified>
</cp:coreProperties>
</file>